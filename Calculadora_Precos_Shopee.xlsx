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.00"/>
    <numFmt numFmtId="166" formatCode="0.00&quot;%&quot;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9"/>
    </font>
    <font>
      <name val="Arial"/>
      <b val="1"/>
      <color rgb="00FFFFFF"/>
      <sz val="11"/>
    </font>
    <font>
      <b val="1"/>
    </font>
    <font>
      <i val="1"/>
      <sz val="9"/>
    </font>
    <font>
      <b val="1"/>
      <color rgb="00FFFFFF"/>
    </font>
    <font>
      <b val="1"/>
      <color rgb="00006100"/>
      <sz val="12"/>
    </font>
    <font>
      <sz val="9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6B6B"/>
        <bgColor rgb="00FF6B6B"/>
      </patternFill>
    </fill>
    <fill>
      <patternFill patternType="solid">
        <fgColor rgb="00FFCCCC"/>
        <bgColor rgb="00FFCCCC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0" fillId="3" borderId="1" pivotButton="0" quotePrefix="0" xfId="0"/>
    <xf numFmtId="0" fontId="5" fillId="0" borderId="0" pivotButton="0" quotePrefix="0" xfId="0"/>
    <xf numFmtId="164" fontId="0" fillId="3" borderId="1" pivotButton="0" quotePrefix="0" xfId="0"/>
    <xf numFmtId="0" fontId="6" fillId="4" borderId="0" pivotButton="0" quotePrefix="0" xfId="0"/>
    <xf numFmtId="164" fontId="0" fillId="5" borderId="1" pivotButton="0" quotePrefix="0" xfId="0"/>
    <xf numFmtId="165" fontId="4" fillId="6" borderId="1" pivotButton="0" quotePrefix="0" xfId="0"/>
    <xf numFmtId="165" fontId="7" fillId="6" borderId="1" pivotButton="0" quotePrefix="0" xfId="0"/>
    <xf numFmtId="165" fontId="0" fillId="7" borderId="1" pivotButton="0" quotePrefix="0" xfId="0"/>
    <xf numFmtId="165" fontId="0" fillId="8" borderId="1" pivotButton="0" quotePrefix="0" xfId="0"/>
    <xf numFmtId="165" fontId="4" fillId="7" borderId="1" pivotButton="0" quotePrefix="0" xfId="0"/>
    <xf numFmtId="165" fontId="0" fillId="9" borderId="1" pivotButton="0" quotePrefix="0" xfId="0"/>
    <xf numFmtId="0" fontId="6" fillId="10" borderId="0" pivotButton="0" quotePrefix="0" xfId="0"/>
    <xf numFmtId="165" fontId="7" fillId="11" borderId="1" pivotButton="0" quotePrefix="0" xfId="0"/>
    <xf numFmtId="166" fontId="0" fillId="7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0" fillId="11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1" t="inlineStr">
        <is>
          <t>CALCULADORA DE PREÇOS SHOPEE</t>
        </is>
      </c>
    </row>
    <row r="2">
      <c r="A2" s="2" t="inlineStr">
        <is>
          <t>Baseada em análise de 5 vendas reais com taxas médias da Shopee</t>
        </is>
      </c>
    </row>
    <row r="4">
      <c r="A4" s="3" t="inlineStr">
        <is>
          <t>ENTRADA DE DADOS</t>
        </is>
      </c>
    </row>
    <row r="5">
      <c r="A5" s="4" t="inlineStr">
        <is>
          <t>Preço de Compra (Custo)</t>
        </is>
      </c>
      <c r="B5" s="5" t="inlineStr">
        <is>
          <t xml:space="preserve">R$ </t>
        </is>
      </c>
    </row>
    <row r="6">
      <c r="A6" s="4" t="inlineStr">
        <is>
          <t>Taxa de Retenção Shopee (%)</t>
        </is>
      </c>
      <c r="C6" s="6" t="inlineStr">
        <is>
          <t>Selecione a taxa baseada no cenário</t>
        </is>
      </c>
    </row>
    <row r="7">
      <c r="A7" t="inlineStr">
        <is>
          <t xml:space="preserve">  ○ Sem promoção (comissão pura)</t>
        </is>
      </c>
      <c r="B7" s="7" t="n">
        <v>24.5</v>
      </c>
    </row>
    <row r="8">
      <c r="A8" t="inlineStr">
        <is>
          <t xml:space="preserve">  ○ Com Pix de desconto (típico)</t>
        </is>
      </c>
      <c r="B8" s="7" t="n">
        <v>28.5</v>
      </c>
    </row>
    <row r="9">
      <c r="A9" t="inlineStr">
        <is>
          <t xml:space="preserve">  ○ Com voucher + Pix (máximo)</t>
        </is>
      </c>
      <c r="B9" s="7" t="n">
        <v>32</v>
      </c>
    </row>
    <row r="10">
      <c r="A10" s="8" t="inlineStr">
        <is>
          <t>Taxa Selecionada para Cálculo</t>
        </is>
      </c>
      <c r="B10" s="9">
        <f>B8</f>
        <v/>
      </c>
      <c r="C10" s="6" t="inlineStr">
        <is>
          <t>Edite para usar outra taxa</t>
        </is>
      </c>
    </row>
    <row r="12">
      <c r="A12" s="4" t="inlineStr">
        <is>
          <t>Margem de Lucro Desejada (%)</t>
        </is>
      </c>
      <c r="B12" s="7" t="n">
        <v>15</v>
      </c>
      <c r="C12" t="inlineStr">
        <is>
          <t>Padrão: 15% (ajuste conforme necessário)</t>
        </is>
      </c>
    </row>
    <row r="14">
      <c r="A14" s="3" t="inlineStr">
        <is>
          <t>CÁLCULOS</t>
        </is>
      </c>
    </row>
    <row r="15">
      <c r="A15" s="4" t="inlineStr">
        <is>
          <t>Preço Mínimo (Break-even)</t>
        </is>
      </c>
      <c r="B15" s="10">
        <f>B5/(1-B10/100)</f>
        <v/>
      </c>
      <c r="C15" s="6">
        <f> Custo ÷ (1 - Taxa de Retenção)</f>
        <v/>
      </c>
    </row>
    <row r="16">
      <c r="A16" s="4" t="inlineStr">
        <is>
          <t>Preço Sugerido (com Margem)</t>
        </is>
      </c>
      <c r="B16" s="11">
        <f>B15*(1+B12/100)</f>
        <v/>
      </c>
      <c r="C16" s="6">
        <f> Break-even × (1 + Margem)</f>
        <v/>
      </c>
    </row>
    <row r="18">
      <c r="A18" s="3" t="inlineStr">
        <is>
          <t>Análise de Rentabilidade</t>
        </is>
      </c>
    </row>
    <row r="19">
      <c r="A19" t="inlineStr">
        <is>
          <t>Receita Bruta (Preço Sugerido)</t>
        </is>
      </c>
      <c r="B19" s="12">
        <f>B16</f>
        <v/>
      </c>
    </row>
    <row r="20">
      <c r="A20" t="inlineStr">
        <is>
          <t>Retenção Shopee (em R$)</t>
        </is>
      </c>
      <c r="B20" s="13">
        <f>B16*(B10/100)</f>
        <v/>
      </c>
    </row>
    <row r="21">
      <c r="A21" t="inlineStr">
        <is>
          <t>Receita Líquida (Shopee)</t>
        </is>
      </c>
      <c r="B21" s="14">
        <f>B16-B20</f>
        <v/>
      </c>
    </row>
    <row r="22">
      <c r="A22" t="inlineStr">
        <is>
          <t>Custo do Produto</t>
        </is>
      </c>
      <c r="B22" s="15">
        <f>B5</f>
        <v/>
      </c>
    </row>
    <row r="23">
      <c r="A23" s="16" t="inlineStr">
        <is>
          <t>LUCRO LÍQUIDO POR VENDA</t>
        </is>
      </c>
      <c r="B23" s="17">
        <f>B21-B22</f>
        <v/>
      </c>
    </row>
    <row r="24">
      <c r="A24" t="inlineStr">
        <is>
          <t>Margem Líquida (%)</t>
        </is>
      </c>
      <c r="B24" s="18">
        <f>IF(B21=0,0,(B23/B21)*100)</f>
        <v/>
      </c>
    </row>
    <row r="26">
      <c r="A26" s="3" t="inlineStr">
        <is>
          <t>SIMULADOR DE CENÁRIOS</t>
        </is>
      </c>
    </row>
    <row r="27">
      <c r="A27" s="19" t="inlineStr">
        <is>
          <t>Custo</t>
        </is>
      </c>
      <c r="B27" s="19" t="inlineStr">
        <is>
          <t>Taxa</t>
        </is>
      </c>
      <c r="C27" s="19" t="inlineStr">
        <is>
          <t>Preço Mínimo</t>
        </is>
      </c>
      <c r="D27" s="19" t="inlineStr">
        <is>
          <t>Preço Sugerido</t>
        </is>
      </c>
      <c r="E27" s="19" t="inlineStr">
        <is>
          <t>Lucro/unidade</t>
        </is>
      </c>
    </row>
    <row r="28">
      <c r="A28" s="20" t="inlineStr">
        <is>
          <t>Exemplo: R$50</t>
        </is>
      </c>
      <c r="B28" s="21" t="n">
        <v>50</v>
      </c>
      <c r="C28" s="22" t="n">
        <v>24.5</v>
      </c>
      <c r="D28" s="13">
        <f>B28/(1-C28/100)</f>
        <v/>
      </c>
      <c r="E28" s="23">
        <f>D28*1.15</f>
        <v/>
      </c>
      <c r="F28" s="12">
        <f>(E28*(1-C28/100))-B28</f>
        <v/>
      </c>
    </row>
    <row r="29">
      <c r="A29" s="20" t="inlineStr">
        <is>
          <t>Exemplo: R$100</t>
        </is>
      </c>
      <c r="B29" s="21" t="n">
        <v>100</v>
      </c>
      <c r="C29" s="22" t="n">
        <v>24.5</v>
      </c>
      <c r="D29" s="13">
        <f>B29/(1-C29/100)</f>
        <v/>
      </c>
      <c r="E29" s="23">
        <f>D29*1.15</f>
        <v/>
      </c>
      <c r="F29" s="12">
        <f>(E29*(1-C29/100))-B29</f>
        <v/>
      </c>
    </row>
    <row r="30">
      <c r="A30" s="20" t="inlineStr">
        <is>
          <t>Exemplo: R$200</t>
        </is>
      </c>
      <c r="B30" s="21" t="n">
        <v>200</v>
      </c>
      <c r="C30" s="22" t="n">
        <v>28.5</v>
      </c>
      <c r="D30" s="13">
        <f>B30/(1-C30/100)</f>
        <v/>
      </c>
      <c r="E30" s="23">
        <f>D30*1.15</f>
        <v/>
      </c>
      <c r="F30" s="12">
        <f>(E30*(1-C30/100))-B30</f>
        <v/>
      </c>
    </row>
    <row r="32">
      <c r="A32" s="3" t="inlineStr">
        <is>
          <t>NOTAS E EXPLICAÇÕES</t>
        </is>
      </c>
    </row>
    <row r="33">
      <c r="A33" s="24" t="inlineStr">
        <is>
          <t>1. Taxa de Retenção: Total de comissões, taxas de serviço, descontos Pix e rebates que Shopee retém</t>
        </is>
      </c>
    </row>
    <row r="34">
      <c r="A34" s="24" t="inlineStr">
        <is>
          <t>2. Preço Mínimo: Preço necessário apenas para cobrir custos (sem lucro)</t>
        </is>
      </c>
    </row>
    <row r="35">
      <c r="A35" s="24" t="inlineStr">
        <is>
          <t>3. Preço Sugerido: Preço Mínimo + 15% de margem (ajustável conforme estratégia)</t>
        </is>
      </c>
    </row>
    <row r="36">
      <c r="A36" s="24" t="inlineStr">
        <is>
          <t>4. Receita Líquida: O valor que você realmente recebe após taxas Shopee</t>
        </is>
      </c>
    </row>
    <row r="37">
      <c r="A37" s="24" t="inlineStr">
        <is>
          <t>5. Lucro: Receita Líquida - Custo do Produto</t>
        </is>
      </c>
    </row>
    <row r="38">
      <c r="A38" s="24" t="inlineStr"/>
    </row>
    <row r="39">
      <c r="A39" s="24" t="inlineStr">
        <is>
          <t>TABELA DE RETENÇÃO OBSERVADA NAS 5 VENDAS ANALISADAS:</t>
        </is>
      </c>
    </row>
    <row r="40">
      <c r="A40" s="24" t="inlineStr">
        <is>
          <t>• Sem promoção: 24.5% (pedido com comissão simples)</t>
        </is>
      </c>
    </row>
    <row r="41">
      <c r="A41" s="24" t="inlineStr">
        <is>
          <t>• Com Pix de desconto: 25.9% a 32.4% (depende de rebate e coins)</t>
        </is>
      </c>
    </row>
    <row r="42">
      <c r="A42" s="24" t="inlineStr">
        <is>
          <t>• Caso típico: 28.5% (recomendado para novos produtos)</t>
        </is>
      </c>
    </row>
    <row r="43">
      <c r="A43" s="24" t="inlineStr"/>
    </row>
    <row r="44">
      <c r="A44" s="24" t="inlineStr">
        <is>
          <t>DICA: Para produtos novos, use 28.5%. Conforme a promoção progride,</t>
        </is>
      </c>
    </row>
    <row r="45">
      <c r="A45" s="24" t="inlineStr">
        <is>
          <t>ajuste conforme a taxa observada em seus pedidos reais.</t>
        </is>
      </c>
    </row>
  </sheetData>
  <mergeCells count="20">
    <mergeCell ref="A41:C41"/>
    <mergeCell ref="A37:C37"/>
    <mergeCell ref="A18:C18"/>
    <mergeCell ref="A26:C26"/>
    <mergeCell ref="A2:C2"/>
    <mergeCell ref="A42:C42"/>
    <mergeCell ref="A33:C33"/>
    <mergeCell ref="A32:C32"/>
    <mergeCell ref="A14:C14"/>
    <mergeCell ref="A35:C35"/>
    <mergeCell ref="A4:C4"/>
    <mergeCell ref="A43:C43"/>
    <mergeCell ref="A38:C38"/>
    <mergeCell ref="A44:C44"/>
    <mergeCell ref="A40:C40"/>
    <mergeCell ref="A39:C39"/>
    <mergeCell ref="A34:C34"/>
    <mergeCell ref="A36:C36"/>
    <mergeCell ref="A1:C1"/>
    <mergeCell ref="A45:C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2026-08-05T04:44:30Z</dcterms:created>
  <dcterms:modified xsi:type="dcterms:W3CDTF">2026-08-05T04:44:30Z</dcterms:modified>
</cp:coreProperties>
</file>