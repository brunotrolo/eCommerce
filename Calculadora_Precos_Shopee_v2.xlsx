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&quot;%&quot;"/>
    <numFmt numFmtId="166" formatCode="0.0%"/>
    <numFmt numFmtId="167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sz val="9"/>
    </font>
    <font>
      <name val="Arial"/>
      <b val="1"/>
      <color rgb="00FFFFFF"/>
      <sz val="11"/>
    </font>
    <font>
      <i val="1"/>
      <sz val="9"/>
    </font>
    <font>
      <b val="1"/>
      <color rgb="00FFFFFF"/>
    </font>
    <font>
      <b val="1"/>
      <color rgb="00006100"/>
      <sz val="13"/>
    </font>
    <font>
      <b val="1"/>
    </font>
    <font>
      <b val="1"/>
      <color rgb="00006100"/>
      <sz val="12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FF6B6B"/>
        <bgColor rgb="00FF6B6B"/>
      </patternFill>
    </fill>
    <fill>
      <patternFill patternType="solid">
        <fgColor rgb="00FFCCCC"/>
        <bgColor rgb="00FFCCC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3" borderId="1" pivotButton="0" quotePrefix="0" xfId="0"/>
    <xf numFmtId="165" fontId="0" fillId="3" borderId="1" pivotButton="0" quotePrefix="0" xfId="0"/>
    <xf numFmtId="0" fontId="4" fillId="0" borderId="0" pivotButton="0" quotePrefix="0" xfId="0"/>
    <xf numFmtId="1" fontId="0" fillId="3" borderId="1" pivotButton="0" quotePrefix="0" xfId="0"/>
    <xf numFmtId="166" fontId="0" fillId="4" borderId="1" pivotButton="0" quotePrefix="0" xfId="0"/>
    <xf numFmtId="164" fontId="0" fillId="4" borderId="1" pivotButton="0" quotePrefix="0" xfId="0"/>
    <xf numFmtId="167" fontId="0" fillId="4" borderId="1" pivotButton="0" quotePrefix="0" xfId="0"/>
    <xf numFmtId="0" fontId="5" fillId="5" borderId="0" pivotButton="0" quotePrefix="0" xfId="0"/>
    <xf numFmtId="164" fontId="6" fillId="6" borderId="1" pivotButton="0" quotePrefix="0" xfId="0"/>
    <xf numFmtId="164" fontId="0" fillId="7" borderId="1" pivotButton="0" quotePrefix="0" xfId="0"/>
    <xf numFmtId="0" fontId="7" fillId="0" borderId="0" pivotButton="0" quotePrefix="0" xfId="0"/>
    <xf numFmtId="164" fontId="7" fillId="8" borderId="1" pivotButton="0" quotePrefix="0" xfId="0"/>
    <xf numFmtId="0" fontId="5" fillId="9" borderId="0" pivotButton="0" quotePrefix="0" xfId="0"/>
    <xf numFmtId="164" fontId="8" fillId="10" borderId="1" pivotButton="0" quotePrefix="0" xfId="0"/>
    <xf numFmtId="10" fontId="0" fillId="8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6" customWidth="1" min="3" max="3"/>
  </cols>
  <sheetData>
    <row r="1">
      <c r="A1" s="1" t="inlineStr">
        <is>
          <t>CALCULADORA DE PREÇOS SHOPEE — v2 (validada por engenharia reversa)</t>
        </is>
      </c>
    </row>
    <row r="2">
      <c r="A2" s="2" t="inlineStr">
        <is>
          <t>Fórmula validada em 8 pedidos reais — erro médio de 0,58% (ver specs/calculator.md)</t>
        </is>
      </c>
    </row>
    <row r="4">
      <c r="A4" s="3" t="inlineStr">
        <is>
          <t>ENTRADA DE DADOS</t>
        </is>
      </c>
    </row>
    <row r="5">
      <c r="A5" t="inlineStr">
        <is>
          <t>Custo do Produto (R$)</t>
        </is>
      </c>
      <c r="B5" s="4" t="n">
        <v>50</v>
      </c>
    </row>
    <row r="6">
      <c r="A6" t="inlineStr">
        <is>
          <t>Custos Adicionais (embalagem, etc)</t>
        </is>
      </c>
      <c r="B6" s="4" t="n">
        <v>0</v>
      </c>
    </row>
    <row r="7">
      <c r="A7" t="inlineStr">
        <is>
          <t>Margem de Lucro Alvo (%)</t>
        </is>
      </c>
      <c r="B7" s="5" t="n">
        <v>20</v>
      </c>
      <c r="C7" s="6" t="inlineStr">
        <is>
          <t>Margem sobre o valor líquido recebido, não sobre o preço de venda</t>
        </is>
      </c>
    </row>
    <row r="8">
      <c r="A8" t="inlineStr">
        <is>
          <t>Quantidade de Itens no Pedido</t>
        </is>
      </c>
      <c r="B8" s="7" t="n">
        <v>1</v>
      </c>
      <c r="C8" s="6" t="inlineStr">
        <is>
          <t>Cada item adicional soma R$4,00 fixos na taxa de serviço</t>
        </is>
      </c>
    </row>
    <row r="9">
      <c r="A9" t="inlineStr">
        <is>
          <t>Cupom Próprio do Vendedor (R$)</t>
        </is>
      </c>
      <c r="B9" s="4" t="n">
        <v>0</v>
      </c>
    </row>
    <row r="10">
      <c r="A10" t="inlineStr">
        <is>
          <t>Cenário de Pagamento</t>
        </is>
      </c>
      <c r="B10" s="7" t="n">
        <v>0</v>
      </c>
      <c r="C10" s="6" t="inlineStr">
        <is>
          <t>0 = Cartão à vista (1x) | 1 = Pix ou Cartão Parcelado (&gt;1x)</t>
        </is>
      </c>
    </row>
    <row r="12">
      <c r="A12" t="inlineStr">
        <is>
          <t>% Ads (Shopee Ads, se ativo)</t>
        </is>
      </c>
      <c r="B12" s="5" t="n">
        <v>0</v>
      </c>
    </row>
    <row r="13">
      <c r="A13" t="inlineStr">
        <is>
          <t>% Imposto (Simples Nacional, se aplicável)</t>
        </is>
      </c>
      <c r="B13" s="5" t="n">
        <v>0</v>
      </c>
    </row>
    <row r="15">
      <c r="A15" s="3" t="inlineStr">
        <is>
          <t>PARÂMETROS DO CENÁRIO (calculados)</t>
        </is>
      </c>
    </row>
    <row r="16">
      <c r="A16" t="inlineStr">
        <is>
          <t>Comissão do Cenário (%)</t>
        </is>
      </c>
      <c r="B16" s="8">
        <f>IF(B10=1,0.12,0.18)</f>
        <v/>
      </c>
    </row>
    <row r="17">
      <c r="A17" t="inlineStr">
        <is>
          <t>Taxa de Serviço Fixa (R$)</t>
        </is>
      </c>
      <c r="B17" s="9">
        <f>4*B8+IF(B10=1,16,0)</f>
        <v/>
      </c>
      <c r="C17" s="6">
        <f> R$4/item + R$16 se Pix/parcelado</f>
        <v/>
      </c>
    </row>
    <row r="18">
      <c r="A18" t="inlineStr">
        <is>
          <t>Fator k (fração do preço após comissão + taxa-base 2%)</t>
        </is>
      </c>
      <c r="B18" s="10">
        <f>1-B16-0.02-B12/100-B13/100</f>
        <v/>
      </c>
    </row>
    <row r="20">
      <c r="A20" s="3" t="inlineStr">
        <is>
          <t>RESULTADO</t>
        </is>
      </c>
    </row>
    <row r="21">
      <c r="A21" t="inlineStr">
        <is>
          <t>Custo Total</t>
        </is>
      </c>
      <c r="B21" s="9">
        <f>B5+B6</f>
        <v/>
      </c>
    </row>
    <row r="22">
      <c r="A22" t="inlineStr">
        <is>
          <t>Líquido Necessário (p/ atingir a margem)</t>
        </is>
      </c>
      <c r="B22" s="9">
        <f>B21/(1-B7/100)</f>
        <v/>
      </c>
      <c r="C22" s="6">
        <f> Custo Total ÷ (1 - Margem)</f>
        <v/>
      </c>
    </row>
    <row r="23">
      <c r="A23" s="11" t="inlineStr">
        <is>
          <t>PREÇO DE VENDA SUGERIDO</t>
        </is>
      </c>
      <c r="B23" s="12">
        <f>(B22+B9+B17)/B18</f>
        <v/>
      </c>
      <c r="C23" s="6">
        <f> (Líquido Necessário + Cupom + Taxa Fixa) ÷ k</f>
        <v/>
      </c>
    </row>
    <row r="25">
      <c r="A25" s="3" t="inlineStr">
        <is>
          <t>Análise de Rentabilidade (no preço sugerido)</t>
        </is>
      </c>
    </row>
    <row r="26">
      <c r="A26" t="inlineStr">
        <is>
          <t>Comissão (R$)</t>
        </is>
      </c>
      <c r="B26" s="13">
        <f>B23*B16</f>
        <v/>
      </c>
    </row>
    <row r="27">
      <c r="A27" t="inlineStr">
        <is>
          <t>Taxa de Serviço (R$)</t>
        </is>
      </c>
      <c r="B27" s="13">
        <f>B23*0.02+B17</f>
        <v/>
      </c>
    </row>
    <row r="28">
      <c r="A28" t="inlineStr">
        <is>
          <t>Ads + Imposto (R$)</t>
        </is>
      </c>
      <c r="B28" s="13">
        <f>B23*(B12/100+B13/100)</f>
        <v/>
      </c>
    </row>
    <row r="29">
      <c r="A29" t="inlineStr">
        <is>
          <t>Cupom do Vendedor (R$)</t>
        </is>
      </c>
      <c r="B29" s="13">
        <f>B9</f>
        <v/>
      </c>
    </row>
    <row r="30">
      <c r="A30" s="14" t="inlineStr">
        <is>
          <t>VALOR LÍQUIDO RECEBIDO</t>
        </is>
      </c>
      <c r="B30" s="15">
        <f>B23-B29-B26-B27-B28</f>
        <v/>
      </c>
    </row>
    <row r="31">
      <c r="A31" s="16" t="inlineStr">
        <is>
          <t>LUCRO LÍQUIDO</t>
        </is>
      </c>
      <c r="B31" s="17">
        <f>B30-B21</f>
        <v/>
      </c>
    </row>
    <row r="32">
      <c r="A32" t="inlineStr">
        <is>
          <t>Margem Real (sobre o líquido)</t>
        </is>
      </c>
      <c r="B32" s="18">
        <f>IF(B30=0,0,B31/B30)</f>
        <v/>
      </c>
    </row>
    <row r="34">
      <c r="A34" s="3" t="inlineStr">
        <is>
          <t>NOTAS — O QUE MUDOU NA v2</t>
        </is>
      </c>
    </row>
    <row r="35">
      <c r="A35" s="19" t="inlineStr">
        <is>
          <t>Esta calculadora foi refeita a partir de engenharia reversa de 8 pedidos REAIS</t>
        </is>
      </c>
    </row>
    <row r="36">
      <c r="A36" s="19" t="inlineStr">
        <is>
          <t>(não estimativas). Ver specs/calculator.md para a análise completa e o backtest.</t>
        </is>
      </c>
    </row>
    <row r="37">
      <c r="A37" s="19" t="inlineStr"/>
    </row>
    <row r="38">
      <c r="A38" s="19" t="inlineStr">
        <is>
          <t>PRINCIPAIS CORREÇÕES vs. a versão anterior:</t>
        </is>
      </c>
    </row>
    <row r="39">
      <c r="A39" s="19" t="inlineStr">
        <is>
          <t>1. Pix NÃO custa nada extra ao vendedor — o desconto é pago pela Shopee.</t>
        </is>
      </c>
    </row>
    <row r="40">
      <c r="A40" s="19" t="inlineStr">
        <is>
          <t xml:space="preserve">   A v1 assumia +5% de retenção com Pix. Isso estava errado.</t>
        </is>
      </c>
    </row>
    <row r="41">
      <c r="A41" s="19" t="inlineStr">
        <is>
          <t>2. Parcelamento no cartão também não custa nada ao vendedor (o comprador</t>
        </is>
      </c>
    </row>
    <row r="42">
      <c r="A42" s="19" t="inlineStr">
        <is>
          <t xml:space="preserve">   paga a tarifa de parcelamento à parte).</t>
        </is>
      </c>
    </row>
    <row r="43">
      <c r="A43" s="19" t="inlineStr">
        <is>
          <t>3. Pix e parcelamento têm COMISSÃO MENOR (12% vs 18% no cartão à vista) —</t>
        </is>
      </c>
    </row>
    <row r="44">
      <c r="A44" s="19" t="inlineStr">
        <is>
          <t xml:space="preserve">   ou seja, tendem a ser mais baratos para o vendedor, não mais caros.</t>
        </is>
      </c>
    </row>
    <row r="45">
      <c r="A45" s="19" t="inlineStr">
        <is>
          <t>4. A taxa de serviço tem um componente FIXO por item (R$4/item). Kits com</t>
        </is>
      </c>
    </row>
    <row r="46">
      <c r="A46" s="19" t="inlineStr">
        <is>
          <t xml:space="preserve">   vários itens baratos têm retenção proporcionalmente muito maior — ajuste</t>
        </is>
      </c>
    </row>
    <row r="47">
      <c r="A47" s="19" t="inlineStr">
        <is>
          <t xml:space="preserve">   o campo 'Quantidade de Itens' para simular isso corretamente.</t>
        </is>
      </c>
    </row>
    <row r="48">
      <c r="A48" s="19" t="inlineStr">
        <is>
          <t>5. Cupom PRÓPRIO do vendedor (não confundir com voucher da Shopee) é</t>
        </is>
      </c>
    </row>
    <row r="49">
      <c r="A49" s="19" t="inlineStr">
        <is>
          <t xml:space="preserve">   custo real, dedução direta do valor recebido.</t>
        </is>
      </c>
    </row>
    <row r="50">
      <c r="A50" s="19" t="inlineStr"/>
    </row>
    <row r="51">
      <c r="A51" s="19" t="inlineStr">
        <is>
          <t>PRECISÃO: erro médio de 0,58% validado contra pedidos reais.</t>
        </is>
      </c>
    </row>
    <row r="52">
      <c r="A52" s="19" t="inlineStr">
        <is>
          <t>O componente 'R$16 extra Pix/parcelado' tem confiança um pouco menor</t>
        </is>
      </c>
    </row>
    <row r="53">
      <c r="A53" s="19" t="inlineStr">
        <is>
          <t>para tickets acima de R$250 (amostra pequena nessa faixa) — reavaliar</t>
        </is>
      </c>
    </row>
    <row r="54">
      <c r="A54" s="19" t="inlineStr">
        <is>
          <t>conforme mais volume de pedidos acumular.</t>
        </is>
      </c>
    </row>
  </sheetData>
  <mergeCells count="27">
    <mergeCell ref="A25:C25"/>
    <mergeCell ref="A41:C41"/>
    <mergeCell ref="A37:C37"/>
    <mergeCell ref="A46:C46"/>
    <mergeCell ref="A50:C50"/>
    <mergeCell ref="A2:C2"/>
    <mergeCell ref="A42:C42"/>
    <mergeCell ref="A47:C47"/>
    <mergeCell ref="A53:C53"/>
    <mergeCell ref="A35:C35"/>
    <mergeCell ref="A4:C4"/>
    <mergeCell ref="A43:C43"/>
    <mergeCell ref="A20:C20"/>
    <mergeCell ref="A38:C38"/>
    <mergeCell ref="A52:C52"/>
    <mergeCell ref="A44:C44"/>
    <mergeCell ref="A40:C40"/>
    <mergeCell ref="A39:C39"/>
    <mergeCell ref="A34:C34"/>
    <mergeCell ref="A15:C15"/>
    <mergeCell ref="A48:C48"/>
    <mergeCell ref="A51:C51"/>
    <mergeCell ref="A36:C36"/>
    <mergeCell ref="A49:C49"/>
    <mergeCell ref="A1:C1"/>
    <mergeCell ref="A45:C45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2026-08-08T19:22:29Z</dcterms:created>
  <dcterms:modified xsi:type="dcterms:W3CDTF">2026-08-08T19:22:29Z</dcterms:modified>
</cp:coreProperties>
</file>